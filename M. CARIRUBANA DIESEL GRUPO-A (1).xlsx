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1 - E-S EL ELEVADO 2024-2025\1 - MUNICIPIO CARIRUBANA\1 - DATA NUEVA FEBRERO - 2025\"/>
    </mc:Choice>
  </mc:AlternateContent>
  <bookViews>
    <workbookView xWindow="0" yWindow="0" windowWidth="20400" windowHeight="7365" tabRatio="530"/>
  </bookViews>
  <sheets>
    <sheet name="DATA MASIVOS (DIESEL)" sheetId="1" r:id="rId1"/>
  </sheets>
  <definedNames>
    <definedName name="_xlnm._FilterDatabase" localSheetId="0" hidden="1">'DATA MASIVOS (DIESEL)'!$A$6:$O$42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" i="1" l="1"/>
  <c r="C36" i="1" l="1"/>
  <c r="C37" i="1"/>
  <c r="C38" i="1"/>
  <c r="C39" i="1"/>
  <c r="C40" i="1"/>
  <c r="C41" i="1"/>
  <c r="C42" i="1"/>
  <c r="C35" i="1"/>
  <c r="C44" i="1" l="1"/>
  <c r="G41" i="1" l="1"/>
  <c r="G42" i="1"/>
  <c r="D44" i="1"/>
  <c r="G40" i="1"/>
  <c r="G39" i="1"/>
  <c r="G38" i="1"/>
  <c r="G37" i="1"/>
  <c r="G36" i="1"/>
  <c r="G35" i="1"/>
  <c r="G44" i="1" l="1"/>
</calcChain>
</file>

<file path=xl/sharedStrings.xml><?xml version="1.0" encoding="utf-8"?>
<sst xmlns="http://schemas.openxmlformats.org/spreadsheetml/2006/main" count="232" uniqueCount="132">
  <si>
    <t>Nº</t>
  </si>
  <si>
    <t>ORGANIZACIÓN</t>
  </si>
  <si>
    <t>PROPIETARIO-NOMBRE                         Y APELLIDO</t>
  </si>
  <si>
    <t>C.I</t>
  </si>
  <si>
    <t>PLACA</t>
  </si>
  <si>
    <t>MARCA</t>
  </si>
  <si>
    <t>MODELO</t>
  </si>
  <si>
    <t>Nº DE PUESTOS</t>
  </si>
  <si>
    <t>LITRAJE</t>
  </si>
  <si>
    <t>SINDICATO</t>
  </si>
  <si>
    <t>GRUPO</t>
  </si>
  <si>
    <t>TRANSPORTE 25 DE JULIO</t>
  </si>
  <si>
    <t>MBSPTV</t>
  </si>
  <si>
    <t>A</t>
  </si>
  <si>
    <t>FORD</t>
  </si>
  <si>
    <t>KIA</t>
  </si>
  <si>
    <t>PREGIO</t>
  </si>
  <si>
    <t xml:space="preserve">JOSE GREGORIO GOMEZ </t>
  </si>
  <si>
    <t>VBR69Y</t>
  </si>
  <si>
    <t>IVECO</t>
  </si>
  <si>
    <t>59.12</t>
  </si>
  <si>
    <t>VANCARS LAS PIEDRAS</t>
  </si>
  <si>
    <t xml:space="preserve">EDUAR DAVID PAZ ROMERO </t>
  </si>
  <si>
    <t>AB048GA</t>
  </si>
  <si>
    <t>KIAT</t>
  </si>
  <si>
    <t>EMILEHIDYS MARIA ROSELL</t>
  </si>
  <si>
    <t>AF572RK</t>
  </si>
  <si>
    <t>SNCSTV</t>
  </si>
  <si>
    <t>A.C. DR. JOSE GREGORIO HERNANDEZ 2020</t>
  </si>
  <si>
    <t>03AB8BL</t>
  </si>
  <si>
    <t>YUTONG BUS</t>
  </si>
  <si>
    <t>ZK6752D</t>
  </si>
  <si>
    <t>ENCAVA</t>
  </si>
  <si>
    <t>BLUE BIRD</t>
  </si>
  <si>
    <t>UNION DE CONDUCTORES PARAGUANA</t>
  </si>
  <si>
    <t>SINATRATV</t>
  </si>
  <si>
    <t>MODALIDAD</t>
  </si>
  <si>
    <t>FIRMA</t>
  </si>
  <si>
    <t>MASIVO</t>
  </si>
  <si>
    <t>HEIDI DEL VALLE ADAMS</t>
  </si>
  <si>
    <t>FERNANDO DEL VALLE TOVAR</t>
  </si>
  <si>
    <t>6126A0K</t>
  </si>
  <si>
    <t>FABR. EXTRANJERA</t>
  </si>
  <si>
    <t>NIELSON BUSSCAR</t>
  </si>
  <si>
    <t>GOSABO BON</t>
  </si>
  <si>
    <t>KEYLA DAYANA LUQUE</t>
  </si>
  <si>
    <t>AHH86W</t>
  </si>
  <si>
    <t>A.C. ARCO DE LA FEDERACION</t>
  </si>
  <si>
    <t>SETRA</t>
  </si>
  <si>
    <t>CATALINO RAMON CAMPOS</t>
  </si>
  <si>
    <t>08AA6BI</t>
  </si>
  <si>
    <t>ENT610-32</t>
  </si>
  <si>
    <t>SUTEF</t>
  </si>
  <si>
    <t>SAN MIGUEL</t>
  </si>
  <si>
    <t xml:space="preserve">EPIFANIO ENRIQUE ZAVALA PERNIA </t>
  </si>
  <si>
    <t>IA052P</t>
  </si>
  <si>
    <t>TRANSPORTE ZAVALA SUCESORES</t>
  </si>
  <si>
    <t>J-008578914</t>
  </si>
  <si>
    <t>6037A3I</t>
  </si>
  <si>
    <t>EMIR YUMARY ESCALONA</t>
  </si>
  <si>
    <t>07AA9WP</t>
  </si>
  <si>
    <t xml:space="preserve">A.C UNION DE CONDUCTORES SANTA ANA </t>
  </si>
  <si>
    <t xml:space="preserve">KELVIS JOSE MEDINA </t>
  </si>
  <si>
    <t>01AB7RT</t>
  </si>
  <si>
    <t xml:space="preserve">BLUE BIRD </t>
  </si>
  <si>
    <t xml:space="preserve">ALL AMERICAN </t>
  </si>
  <si>
    <t xml:space="preserve">ENCAVA </t>
  </si>
  <si>
    <t>E-NT 610-32</t>
  </si>
  <si>
    <t>INSTITUTO MUNICIPAL DE TRÁNSITO Y TRANSPORTE PÚBLICO DE PASAJEROS DEL MUNICIPIO CARIRUBANA</t>
  </si>
  <si>
    <t xml:space="preserve">SOCIEDAD CIVIL U.C FERMAR </t>
  </si>
  <si>
    <t xml:space="preserve">ROBERTO ANTONIO GARCIA </t>
  </si>
  <si>
    <t>AE6131</t>
  </si>
  <si>
    <t>00AB2GR</t>
  </si>
  <si>
    <t>SUTTEF</t>
  </si>
  <si>
    <t xml:space="preserve">MASIVO </t>
  </si>
  <si>
    <t xml:space="preserve">JESUS CONTRERAS </t>
  </si>
  <si>
    <t>02AC5YS</t>
  </si>
  <si>
    <t xml:space="preserve">SINDICATOS </t>
  </si>
  <si>
    <t xml:space="preserve">SUTEF </t>
  </si>
  <si>
    <t xml:space="preserve">REGISTRO DE ORGANIZACIONES DE TRANSPORTE PÚBLICO URBANO DEL MUNICIPIO CARIRUBANA  </t>
  </si>
  <si>
    <t xml:space="preserve">SINATRATV </t>
  </si>
  <si>
    <t xml:space="preserve">SINESTRANSP </t>
  </si>
  <si>
    <t xml:space="preserve">SIRNDETRANSB </t>
  </si>
  <si>
    <t xml:space="preserve">SNCSTV </t>
  </si>
  <si>
    <t xml:space="preserve">SUTTEF </t>
  </si>
  <si>
    <t xml:space="preserve">DIA ANTERIOR </t>
  </si>
  <si>
    <t xml:space="preserve">DIFERENCIA </t>
  </si>
  <si>
    <t xml:space="preserve">MASIVOS (DIESEL) </t>
  </si>
  <si>
    <t>LITROS (DIESEL)</t>
  </si>
  <si>
    <t xml:space="preserve">TOTAL LITRAJE </t>
  </si>
  <si>
    <t xml:space="preserve">KIA </t>
  </si>
  <si>
    <t xml:space="preserve">PREGIO </t>
  </si>
  <si>
    <t>CHEVROLET</t>
  </si>
  <si>
    <t>23A87AL</t>
  </si>
  <si>
    <t>NPR</t>
  </si>
  <si>
    <t xml:space="preserve">RAMON ANTONIO MEDINA BRACHO </t>
  </si>
  <si>
    <t>07AH0RV</t>
  </si>
  <si>
    <t>AUTOBUS 1974</t>
  </si>
  <si>
    <t xml:space="preserve">ARNALDO CASTILLO HERNANDEZ </t>
  </si>
  <si>
    <t>560AA8M</t>
  </si>
  <si>
    <t>ISUZU</t>
  </si>
  <si>
    <t xml:space="preserve">LIBERTADORES DE PARAGUANA </t>
  </si>
  <si>
    <t>DIAMELIS ABELINA CARFUNJOL</t>
  </si>
  <si>
    <t>GBM27O</t>
  </si>
  <si>
    <t>02AB6NM</t>
  </si>
  <si>
    <t>ENT-900</t>
  </si>
  <si>
    <t xml:space="preserve">NOHELVA JOSEFINA MALDONADO </t>
  </si>
  <si>
    <t>AB218TV</t>
  </si>
  <si>
    <t xml:space="preserve">LAIDYS GRIVELL SUAREZ MARIN </t>
  </si>
  <si>
    <t>6013A5T</t>
  </si>
  <si>
    <t>ALEXIS JESUS ACOSTA M</t>
  </si>
  <si>
    <t xml:space="preserve">JOSE RICARDO PUENTE </t>
  </si>
  <si>
    <t>U.C ANTIGUO AEROPUERTO</t>
  </si>
  <si>
    <t>DIAZ LUIS ALBERTO</t>
  </si>
  <si>
    <t>COLINA HUMBERTO</t>
  </si>
  <si>
    <t>PELAYO FREDDYS</t>
  </si>
  <si>
    <t>LEON DOMINGO</t>
  </si>
  <si>
    <t>RUIZ RONNY</t>
  </si>
  <si>
    <t>BLANCO JUANDY</t>
  </si>
  <si>
    <t>SANEZ JEAN GREGORYS</t>
  </si>
  <si>
    <t xml:space="preserve">SETRA FALCON </t>
  </si>
  <si>
    <t xml:space="preserve">CHOFER-NOMBRE Y APELLIDO </t>
  </si>
  <si>
    <t>JOSE ADAN BALVUENA R</t>
  </si>
  <si>
    <t>06AA1GI</t>
  </si>
  <si>
    <t>900-26</t>
  </si>
  <si>
    <t>01AB1GR</t>
  </si>
  <si>
    <t xml:space="preserve">SUSPENDIDO </t>
  </si>
  <si>
    <t xml:space="preserve">SISPENDIDO </t>
  </si>
  <si>
    <t>MARTES 02/09/2025</t>
  </si>
  <si>
    <t xml:space="preserve">RANCES BLANCO </t>
  </si>
  <si>
    <t xml:space="preserve">       OCTUBRE</t>
  </si>
  <si>
    <t>08AB0HR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</si>
</sst>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6"/>
      <color theme="1"/>
      <name val="Arial Black"/>
      <family val="2"/>
    </font>
    <font>
      <sz val="28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48"/>
      <color theme="1"/>
      <name val="Times New Roman"/>
      <family val="1"/>
    </font>
    <font>
      <b/>
      <sz val="22"/>
      <color theme="1"/>
      <name val="Times New Roman"/>
      <family val="1"/>
    </font>
    <font>
      <b/>
      <sz val="24"/>
      <color theme="1"/>
      <name val="Times New Roman"/>
      <family val="1"/>
    </font>
    <font>
      <b/>
      <sz val="22"/>
      <color theme="1"/>
      <name val="Arial"/>
      <family val="2"/>
    </font>
    <font>
      <sz val="22"/>
      <color theme="1"/>
      <name val="Calibri"/>
      <family val="2"/>
      <scheme val="minor"/>
    </font>
    <font>
      <sz val="24"/>
      <color theme="1"/>
      <name val="Times New Roman"/>
      <family val="1"/>
    </font>
    <font>
      <b/>
      <sz val="36"/>
      <color theme="1"/>
      <name val="Times New Roman"/>
      <family val="1"/>
    </font>
    <font>
      <b/>
      <sz val="36"/>
      <color rgb="FFC00000"/>
      <name val="Times New Roman"/>
      <family val="1"/>
    </font>
    <font>
      <b/>
      <sz val="28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Calibri"/>
      <family val="2"/>
      <scheme val="minor"/>
    </font>
    <font>
      <sz val="26"/>
      <color theme="1"/>
      <name val="Times New Roman"/>
      <family val="1"/>
    </font>
    <font>
      <sz val="11"/>
      <name val="Calibri"/>
      <family val="2"/>
    </font>
    <font>
      <b/>
      <sz val="26"/>
      <color rgb="FF000000"/>
      <name val="Times New Roman"/>
      <family val="1"/>
    </font>
    <font>
      <b/>
      <i/>
      <sz val="30"/>
      <name val="Times New Roman"/>
      <family val="1"/>
    </font>
    <font>
      <b/>
      <i/>
      <sz val="30"/>
      <color theme="1"/>
      <name val="Times New Roman"/>
      <family val="1"/>
    </font>
    <font>
      <b/>
      <i/>
      <sz val="35"/>
      <color theme="1"/>
      <name val="Times New Roman"/>
      <family val="1"/>
    </font>
    <font>
      <b/>
      <i/>
      <sz val="35"/>
      <name val="Times New Roman"/>
      <family val="1"/>
    </font>
    <font>
      <sz val="30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9"/>
      <color theme="1"/>
      <name val="Times New Roman"/>
      <family val="1"/>
    </font>
    <font>
      <b/>
      <i/>
      <sz val="39"/>
      <name val="Times New Roman"/>
      <family val="1"/>
    </font>
    <font>
      <b/>
      <i/>
      <sz val="39"/>
      <color theme="1"/>
      <name val="Times New Roman"/>
      <family val="1"/>
    </font>
    <font>
      <b/>
      <i/>
      <sz val="90"/>
      <name val="Times New Roman"/>
      <family val="1"/>
    </font>
    <font>
      <b/>
      <i/>
      <sz val="90"/>
      <color theme="1"/>
      <name val="Times New Roman"/>
      <family val="1"/>
    </font>
    <font>
      <b/>
      <sz val="60"/>
      <color theme="1"/>
      <name val="Times New Roman"/>
      <family val="1"/>
    </font>
    <font>
      <b/>
      <sz val="65"/>
      <color rgb="FFFF0000"/>
      <name val="Times New Roman"/>
      <family val="1"/>
    </font>
    <font>
      <b/>
      <sz val="45"/>
      <color theme="1"/>
      <name val="Times New Roman"/>
      <family val="1"/>
    </font>
    <font>
      <b/>
      <sz val="45"/>
      <color rgb="FFC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>
      <alignment vertical="center"/>
    </xf>
  </cellStyleXfs>
  <cellXfs count="86">
    <xf numFmtId="0" fontId="0" fillId="0" borderId="0" xfId="0"/>
    <xf numFmtId="0" fontId="0" fillId="3" borderId="0" xfId="0" applyFill="1"/>
    <xf numFmtId="0" fontId="2" fillId="0" borderId="0" xfId="0" applyFont="1"/>
    <xf numFmtId="0" fontId="0" fillId="0" borderId="7" xfId="0" applyBorder="1"/>
    <xf numFmtId="0" fontId="0" fillId="3" borderId="8" xfId="0" applyFill="1" applyBorder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11" fillId="0" borderId="0" xfId="0" applyFont="1"/>
    <xf numFmtId="0" fontId="0" fillId="0" borderId="0" xfId="0" applyBorder="1"/>
    <xf numFmtId="0" fontId="14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16" fillId="3" borderId="0" xfId="0" applyFont="1" applyFill="1"/>
    <xf numFmtId="0" fontId="17" fillId="3" borderId="0" xfId="0" applyFont="1" applyFill="1"/>
    <xf numFmtId="0" fontId="15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/>
    <xf numFmtId="0" fontId="19" fillId="3" borderId="1" xfId="3" applyFont="1" applyFill="1" applyBorder="1" applyAlignment="1">
      <alignment horizontal="center" vertical="center" wrapText="1"/>
    </xf>
    <xf numFmtId="0" fontId="19" fillId="3" borderId="1" xfId="3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4" fontId="14" fillId="0" borderId="0" xfId="1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0" fillId="0" borderId="3" xfId="0" applyFont="1" applyBorder="1"/>
    <xf numFmtId="0" fontId="0" fillId="3" borderId="0" xfId="0" applyFill="1" applyBorder="1"/>
    <xf numFmtId="0" fontId="20" fillId="3" borderId="1" xfId="0" applyFont="1" applyFill="1" applyBorder="1" applyAlignment="1">
      <alignment horizontal="center" vertical="center" wrapText="1"/>
    </xf>
    <xf numFmtId="3" fontId="20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24" fillId="0" borderId="0" xfId="0" applyFont="1"/>
    <xf numFmtId="0" fontId="6" fillId="0" borderId="0" xfId="0" applyFont="1" applyBorder="1" applyAlignment="1">
      <alignment horizontal="center" vertical="center" wrapText="1"/>
    </xf>
    <xf numFmtId="3" fontId="22" fillId="3" borderId="1" xfId="0" applyNumberFormat="1" applyFont="1" applyFill="1" applyBorder="1" applyAlignment="1">
      <alignment horizontal="center" vertical="center" wrapText="1"/>
    </xf>
    <xf numFmtId="3" fontId="23" fillId="3" borderId="1" xfId="0" applyNumberFormat="1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3" fontId="27" fillId="3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3" fontId="15" fillId="4" borderId="3" xfId="0" applyNumberFormat="1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3" fontId="20" fillId="4" borderId="1" xfId="0" applyNumberFormat="1" applyFont="1" applyFill="1" applyBorder="1" applyAlignment="1">
      <alignment horizontal="center" vertical="center" wrapText="1"/>
    </xf>
    <xf numFmtId="3" fontId="22" fillId="4" borderId="1" xfId="0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164" fontId="31" fillId="0" borderId="6" xfId="1" applyNumberFormat="1" applyFont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3" borderId="9" xfId="3" applyFont="1" applyFill="1" applyBorder="1" applyAlignment="1">
      <alignment horizontal="center" vertical="center" wrapText="1"/>
    </xf>
    <xf numFmtId="0" fontId="19" fillId="3" borderId="10" xfId="3" applyFont="1" applyFill="1" applyBorder="1" applyAlignment="1">
      <alignment horizontal="center" vertical="center" wrapText="1"/>
    </xf>
    <xf numFmtId="0" fontId="19" fillId="3" borderId="11" xfId="3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3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3" borderId="0" xfId="0" applyFont="1" applyFill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4" fontId="32" fillId="0" borderId="2" xfId="0" applyNumberFormat="1" applyFont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</cellXfs>
  <cellStyles count="4">
    <cellStyle name="Millares" xfId="1" builtinId="3"/>
    <cellStyle name="Millares 2" xfId="2"/>
    <cellStyle name="Normal" xfId="0" builtinId="0"/>
    <cellStyle name="Normal 5 2" xfId="3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104788</xdr:colOff>
      <xdr:row>0</xdr:row>
      <xdr:rowOff>0</xdr:rowOff>
    </xdr:from>
    <xdr:to>
      <xdr:col>1</xdr:col>
      <xdr:colOff>4473864</xdr:colOff>
      <xdr:row>4</xdr:row>
      <xdr:rowOff>1115120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05" t="4495" r="6210" b="14690"/>
        <a:stretch>
          <a:fillRect/>
        </a:stretch>
      </xdr:blipFill>
      <xdr:spPr bwMode="auto">
        <a:xfrm>
          <a:off x="941833" y="0"/>
          <a:ext cx="4369076" cy="3597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2747199</xdr:colOff>
      <xdr:row>0</xdr:row>
      <xdr:rowOff>0</xdr:rowOff>
    </xdr:from>
    <xdr:to>
      <xdr:col>14</xdr:col>
      <xdr:colOff>6793263</xdr:colOff>
      <xdr:row>4</xdr:row>
      <xdr:rowOff>1056712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74" t="9780" r="4808" b="9022"/>
        <a:stretch/>
      </xdr:blipFill>
      <xdr:spPr>
        <a:xfrm>
          <a:off x="41459520" y="0"/>
          <a:ext cx="4046064" cy="3505998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8"/>
  <sheetViews>
    <sheetView tabSelected="1" zoomScale="28" zoomScaleNormal="28" workbookViewId="0">
      <selection activeCell="B7" sqref="B7"/>
    </sheetView>
  </sheetViews>
  <sheetFormatPr baseColWidth="10" defaultRowHeight="61.5" x14ac:dyDescent="0.9"/>
  <cols>
    <col min="1" max="1" width="12.42578125" style="8" customWidth="1"/>
    <col min="2" max="2" width="83.140625" customWidth="1"/>
    <col min="3" max="3" width="78.7109375" customWidth="1"/>
    <col min="4" max="4" width="38.140625" customWidth="1"/>
    <col min="5" max="5" width="48.42578125" customWidth="1"/>
    <col min="6" max="6" width="37.140625" customWidth="1"/>
    <col min="7" max="7" width="38.42578125" style="1" customWidth="1"/>
    <col min="8" max="8" width="38.5703125" customWidth="1"/>
    <col min="9" max="9" width="37" customWidth="1"/>
    <col min="10" max="10" width="23.140625" customWidth="1"/>
    <col min="11" max="11" width="35.42578125" customWidth="1"/>
    <col min="12" max="12" width="43.42578125" customWidth="1"/>
    <col min="13" max="13" width="24.85546875" customWidth="1"/>
    <col min="14" max="14" width="41.7109375" style="3" customWidth="1"/>
    <col min="15" max="15" width="102" style="2" customWidth="1"/>
  </cols>
  <sheetData>
    <row r="1" spans="1:61" ht="57" customHeight="1" x14ac:dyDescent="0.25">
      <c r="A1" s="81" t="s">
        <v>68</v>
      </c>
      <c r="B1" s="81"/>
      <c r="C1" s="81"/>
      <c r="D1" s="81"/>
      <c r="E1" s="81"/>
      <c r="F1" s="81"/>
      <c r="G1" s="82"/>
      <c r="H1" s="81"/>
      <c r="I1" s="81"/>
      <c r="J1" s="81"/>
      <c r="K1" s="81"/>
      <c r="L1" s="81"/>
      <c r="M1" s="81"/>
      <c r="N1" s="81"/>
      <c r="O1" s="81"/>
    </row>
    <row r="2" spans="1:61" ht="24.75" customHeight="1" x14ac:dyDescent="0.25">
      <c r="A2" s="79" t="s">
        <v>79</v>
      </c>
      <c r="B2" s="79"/>
      <c r="C2" s="79"/>
      <c r="D2" s="79"/>
      <c r="E2" s="79"/>
      <c r="F2" s="79"/>
      <c r="G2" s="80"/>
      <c r="H2" s="79"/>
      <c r="I2" s="79"/>
      <c r="J2" s="79"/>
      <c r="K2" s="79"/>
      <c r="L2" s="79"/>
      <c r="M2" s="79"/>
      <c r="N2" s="79"/>
      <c r="O2" s="79"/>
    </row>
    <row r="3" spans="1:61" ht="57" customHeight="1" x14ac:dyDescent="0.25">
      <c r="A3" s="79"/>
      <c r="B3" s="79"/>
      <c r="C3" s="79"/>
      <c r="D3" s="79"/>
      <c r="E3" s="79"/>
      <c r="F3" s="79"/>
      <c r="G3" s="80"/>
      <c r="H3" s="79"/>
      <c r="I3" s="79"/>
      <c r="J3" s="79"/>
      <c r="K3" s="79"/>
      <c r="L3" s="79"/>
      <c r="M3" s="79"/>
      <c r="N3" s="79"/>
      <c r="O3" s="79"/>
    </row>
    <row r="4" spans="1:61" ht="57" customHeight="1" x14ac:dyDescent="0.25">
      <c r="A4" s="49"/>
      <c r="B4" s="49"/>
      <c r="C4" s="49"/>
      <c r="D4" s="49"/>
      <c r="E4" s="49"/>
      <c r="F4" s="49"/>
      <c r="G4" s="50"/>
      <c r="H4" s="49"/>
      <c r="I4" s="49"/>
      <c r="J4" s="49"/>
      <c r="K4" s="49"/>
      <c r="L4" s="49"/>
      <c r="M4" s="49"/>
      <c r="N4" s="49"/>
      <c r="O4" s="49"/>
    </row>
    <row r="5" spans="1:61" ht="93" customHeight="1" x14ac:dyDescent="0.25">
      <c r="A5" s="84" t="s">
        <v>130</v>
      </c>
      <c r="B5" s="84"/>
      <c r="C5" s="84"/>
      <c r="D5" s="84"/>
      <c r="E5" s="85" t="s">
        <v>87</v>
      </c>
      <c r="F5" s="85"/>
      <c r="G5" s="85"/>
      <c r="H5" s="85"/>
      <c r="I5" s="85" t="s">
        <v>128</v>
      </c>
      <c r="J5" s="85"/>
      <c r="K5" s="85"/>
      <c r="L5" s="85"/>
      <c r="M5" s="85"/>
      <c r="N5" s="85"/>
      <c r="O5" s="85"/>
    </row>
    <row r="6" spans="1:61" s="14" customFormat="1" ht="83.25" customHeight="1" x14ac:dyDescent="0.45">
      <c r="A6" s="10" t="s">
        <v>0</v>
      </c>
      <c r="B6" s="10" t="s">
        <v>1</v>
      </c>
      <c r="C6" s="10" t="s">
        <v>2</v>
      </c>
      <c r="D6" s="10" t="s">
        <v>3</v>
      </c>
      <c r="E6" s="10" t="s">
        <v>121</v>
      </c>
      <c r="F6" s="10" t="s">
        <v>3</v>
      </c>
      <c r="G6" s="11" t="s">
        <v>4</v>
      </c>
      <c r="H6" s="12" t="s">
        <v>5</v>
      </c>
      <c r="I6" s="12" t="s">
        <v>6</v>
      </c>
      <c r="J6" s="53" t="s">
        <v>7</v>
      </c>
      <c r="K6" s="51" t="s">
        <v>8</v>
      </c>
      <c r="L6" s="10" t="s">
        <v>9</v>
      </c>
      <c r="M6" s="52" t="s">
        <v>10</v>
      </c>
      <c r="N6" s="10" t="s">
        <v>36</v>
      </c>
      <c r="O6" s="13" t="s">
        <v>37</v>
      </c>
    </row>
    <row r="7" spans="1:61" ht="122.25" customHeight="1" x14ac:dyDescent="0.25">
      <c r="A7" s="54">
        <v>1</v>
      </c>
      <c r="B7" s="36" t="s">
        <v>11</v>
      </c>
      <c r="C7" s="61" t="s">
        <v>17</v>
      </c>
      <c r="D7" s="62">
        <v>26656168</v>
      </c>
      <c r="E7" s="62"/>
      <c r="F7" s="62"/>
      <c r="G7" s="64" t="s">
        <v>18</v>
      </c>
      <c r="H7" s="61" t="s">
        <v>19</v>
      </c>
      <c r="I7" s="61" t="s">
        <v>20</v>
      </c>
      <c r="J7" s="61">
        <v>32</v>
      </c>
      <c r="K7" s="67">
        <v>0</v>
      </c>
      <c r="L7" s="61" t="s">
        <v>12</v>
      </c>
      <c r="M7" s="67" t="s">
        <v>13</v>
      </c>
      <c r="N7" s="65" t="s">
        <v>38</v>
      </c>
      <c r="O7" s="9" t="s">
        <v>126</v>
      </c>
    </row>
    <row r="8" spans="1:61" ht="122.25" customHeight="1" x14ac:dyDescent="0.25">
      <c r="A8" s="54">
        <v>2</v>
      </c>
      <c r="B8" s="36" t="s">
        <v>21</v>
      </c>
      <c r="C8" s="36" t="s">
        <v>22</v>
      </c>
      <c r="D8" s="37">
        <v>16289218</v>
      </c>
      <c r="E8" s="37"/>
      <c r="F8" s="37"/>
      <c r="G8" s="56" t="s">
        <v>23</v>
      </c>
      <c r="H8" s="36" t="s">
        <v>24</v>
      </c>
      <c r="I8" s="36" t="s">
        <v>16</v>
      </c>
      <c r="J8" s="36">
        <v>15</v>
      </c>
      <c r="K8" s="66">
        <v>70</v>
      </c>
      <c r="L8" s="36" t="s">
        <v>78</v>
      </c>
      <c r="M8" s="66" t="s">
        <v>13</v>
      </c>
      <c r="N8" s="38" t="s">
        <v>38</v>
      </c>
      <c r="O8" s="9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 ht="122.25" customHeight="1" x14ac:dyDescent="0.25">
      <c r="A9" s="54">
        <v>3</v>
      </c>
      <c r="B9" s="36" t="s">
        <v>21</v>
      </c>
      <c r="C9" s="36" t="s">
        <v>106</v>
      </c>
      <c r="D9" s="37">
        <v>12497913</v>
      </c>
      <c r="E9" s="37"/>
      <c r="F9" s="37"/>
      <c r="G9" s="56" t="s">
        <v>107</v>
      </c>
      <c r="H9" s="36" t="s">
        <v>90</v>
      </c>
      <c r="I9" s="36" t="s">
        <v>91</v>
      </c>
      <c r="J9" s="36">
        <v>17</v>
      </c>
      <c r="K9" s="66">
        <v>70</v>
      </c>
      <c r="L9" s="36" t="s">
        <v>78</v>
      </c>
      <c r="M9" s="66" t="s">
        <v>13</v>
      </c>
      <c r="N9" s="38" t="s">
        <v>38</v>
      </c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 ht="122.25" customHeight="1" x14ac:dyDescent="0.25">
      <c r="A10" s="54">
        <v>4</v>
      </c>
      <c r="B10" s="36" t="s">
        <v>21</v>
      </c>
      <c r="C10" s="36" t="s">
        <v>25</v>
      </c>
      <c r="D10" s="37">
        <v>15095591</v>
      </c>
      <c r="E10" s="36" t="s">
        <v>25</v>
      </c>
      <c r="F10" s="37">
        <v>15095591</v>
      </c>
      <c r="G10" s="56" t="s">
        <v>26</v>
      </c>
      <c r="H10" s="36" t="s">
        <v>24</v>
      </c>
      <c r="I10" s="36" t="s">
        <v>16</v>
      </c>
      <c r="J10" s="36">
        <v>16</v>
      </c>
      <c r="K10" s="66">
        <v>70</v>
      </c>
      <c r="L10" s="36" t="s">
        <v>78</v>
      </c>
      <c r="M10" s="66" t="s">
        <v>13</v>
      </c>
      <c r="N10" s="38" t="s">
        <v>38</v>
      </c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pans="1:61" s="1" customFormat="1" ht="122.25" customHeight="1" x14ac:dyDescent="0.25">
      <c r="A11" s="54">
        <v>5</v>
      </c>
      <c r="B11" s="36" t="s">
        <v>28</v>
      </c>
      <c r="C11" s="70" t="s">
        <v>111</v>
      </c>
      <c r="D11" s="63">
        <v>17499337</v>
      </c>
      <c r="E11" s="63"/>
      <c r="F11" s="63"/>
      <c r="G11" s="71" t="s">
        <v>29</v>
      </c>
      <c r="H11" s="70" t="s">
        <v>30</v>
      </c>
      <c r="I11" s="70" t="s">
        <v>31</v>
      </c>
      <c r="J11" s="72">
        <v>24</v>
      </c>
      <c r="K11" s="67">
        <v>0</v>
      </c>
      <c r="L11" s="72" t="s">
        <v>35</v>
      </c>
      <c r="M11" s="67" t="s">
        <v>13</v>
      </c>
      <c r="N11" s="70" t="s">
        <v>38</v>
      </c>
      <c r="O11" s="9" t="s">
        <v>127</v>
      </c>
    </row>
    <row r="12" spans="1:61" ht="122.25" customHeight="1" x14ac:dyDescent="0.25">
      <c r="A12" s="54">
        <v>6</v>
      </c>
      <c r="B12" s="36" t="s">
        <v>28</v>
      </c>
      <c r="C12" s="70" t="s">
        <v>75</v>
      </c>
      <c r="D12" s="63">
        <v>10159965</v>
      </c>
      <c r="E12" s="63"/>
      <c r="F12" s="63"/>
      <c r="G12" s="71" t="s">
        <v>76</v>
      </c>
      <c r="H12" s="70" t="s">
        <v>66</v>
      </c>
      <c r="I12" s="70" t="s">
        <v>67</v>
      </c>
      <c r="J12" s="72">
        <v>32</v>
      </c>
      <c r="K12" s="67">
        <v>0</v>
      </c>
      <c r="L12" s="72" t="s">
        <v>35</v>
      </c>
      <c r="M12" s="67" t="s">
        <v>13</v>
      </c>
      <c r="N12" s="70" t="s">
        <v>38</v>
      </c>
      <c r="O12" s="9" t="s">
        <v>127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spans="1:61" ht="122.25" customHeight="1" x14ac:dyDescent="0.25">
      <c r="A13" s="54">
        <v>7</v>
      </c>
      <c r="B13" s="36" t="s">
        <v>28</v>
      </c>
      <c r="C13" s="47" t="s">
        <v>110</v>
      </c>
      <c r="D13" s="44">
        <v>10614115</v>
      </c>
      <c r="E13" s="44"/>
      <c r="F13" s="44"/>
      <c r="G13" s="55" t="s">
        <v>125</v>
      </c>
      <c r="H13" s="47" t="s">
        <v>15</v>
      </c>
      <c r="I13" s="47" t="s">
        <v>16</v>
      </c>
      <c r="J13" s="47">
        <v>15</v>
      </c>
      <c r="K13" s="66">
        <v>70</v>
      </c>
      <c r="L13" s="47" t="s">
        <v>35</v>
      </c>
      <c r="M13" s="66" t="s">
        <v>13</v>
      </c>
      <c r="N13" s="46" t="s">
        <v>38</v>
      </c>
      <c r="O13" s="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 ht="122.25" customHeight="1" x14ac:dyDescent="0.25">
      <c r="A14" s="54">
        <v>8</v>
      </c>
      <c r="B14" s="36" t="s">
        <v>28</v>
      </c>
      <c r="C14" s="46" t="s">
        <v>108</v>
      </c>
      <c r="D14" s="43">
        <v>10089851</v>
      </c>
      <c r="E14" s="43"/>
      <c r="F14" s="43"/>
      <c r="G14" s="57" t="s">
        <v>109</v>
      </c>
      <c r="H14" s="46" t="s">
        <v>32</v>
      </c>
      <c r="I14" s="46">
        <v>1986</v>
      </c>
      <c r="J14" s="47">
        <v>46</v>
      </c>
      <c r="K14" s="66">
        <v>120</v>
      </c>
      <c r="L14" s="47" t="s">
        <v>35</v>
      </c>
      <c r="M14" s="66" t="s">
        <v>13</v>
      </c>
      <c r="N14" s="46" t="s">
        <v>74</v>
      </c>
      <c r="O14" s="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</row>
    <row r="15" spans="1:61" ht="122.25" customHeight="1" x14ac:dyDescent="0.25">
      <c r="A15" s="54">
        <v>9</v>
      </c>
      <c r="B15" s="36" t="s">
        <v>34</v>
      </c>
      <c r="C15" s="39" t="s">
        <v>70</v>
      </c>
      <c r="D15" s="45">
        <v>9760547</v>
      </c>
      <c r="E15" s="45"/>
      <c r="F15" s="45"/>
      <c r="G15" s="58" t="s">
        <v>71</v>
      </c>
      <c r="H15" s="38" t="s">
        <v>32</v>
      </c>
      <c r="I15" s="38" t="s">
        <v>51</v>
      </c>
      <c r="J15" s="36">
        <v>32</v>
      </c>
      <c r="K15" s="66">
        <v>120</v>
      </c>
      <c r="L15" s="47" t="s">
        <v>35</v>
      </c>
      <c r="M15" s="66" t="s">
        <v>13</v>
      </c>
      <c r="N15" s="38" t="s">
        <v>38</v>
      </c>
      <c r="O15" s="9"/>
      <c r="P15" s="4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 spans="1:61" ht="122.25" customHeight="1" x14ac:dyDescent="0.25">
      <c r="A16" s="54">
        <v>10</v>
      </c>
      <c r="B16" s="36" t="s">
        <v>34</v>
      </c>
      <c r="C16" s="39" t="s">
        <v>39</v>
      </c>
      <c r="D16" s="45">
        <v>11919684</v>
      </c>
      <c r="E16" s="45"/>
      <c r="F16" s="45"/>
      <c r="G16" s="58" t="s">
        <v>72</v>
      </c>
      <c r="H16" s="38" t="s">
        <v>32</v>
      </c>
      <c r="I16" s="38" t="s">
        <v>51</v>
      </c>
      <c r="J16" s="36">
        <v>32</v>
      </c>
      <c r="K16" s="66">
        <v>120</v>
      </c>
      <c r="L16" s="47" t="s">
        <v>35</v>
      </c>
      <c r="M16" s="66" t="s">
        <v>13</v>
      </c>
      <c r="N16" s="38" t="s">
        <v>38</v>
      </c>
      <c r="O16" s="9"/>
      <c r="P16" s="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r="17" spans="1:69" ht="122.25" customHeight="1" x14ac:dyDescent="0.25">
      <c r="A17" s="54">
        <v>11</v>
      </c>
      <c r="B17" s="36" t="s">
        <v>34</v>
      </c>
      <c r="C17" s="39" t="s">
        <v>129</v>
      </c>
      <c r="D17" s="45">
        <v>15331690</v>
      </c>
      <c r="E17" s="43"/>
      <c r="F17" s="43"/>
      <c r="G17" s="58" t="s">
        <v>93</v>
      </c>
      <c r="H17" s="38" t="s">
        <v>32</v>
      </c>
      <c r="I17" s="38" t="s">
        <v>51</v>
      </c>
      <c r="J17" s="36">
        <v>32</v>
      </c>
      <c r="K17" s="66">
        <v>120</v>
      </c>
      <c r="L17" s="47" t="s">
        <v>35</v>
      </c>
      <c r="M17" s="66" t="s">
        <v>13</v>
      </c>
      <c r="N17" s="38" t="s">
        <v>38</v>
      </c>
      <c r="O17" s="9"/>
      <c r="P17" s="3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9" s="1" customFormat="1" ht="122.25" customHeight="1" x14ac:dyDescent="0.25">
      <c r="A18" s="54">
        <v>12</v>
      </c>
      <c r="B18" s="39" t="s">
        <v>112</v>
      </c>
      <c r="C18" s="47" t="s">
        <v>122</v>
      </c>
      <c r="D18" s="44">
        <v>7524965</v>
      </c>
      <c r="E18" s="37"/>
      <c r="F18" s="37"/>
      <c r="G18" s="56" t="s">
        <v>123</v>
      </c>
      <c r="H18" s="47" t="s">
        <v>66</v>
      </c>
      <c r="I18" s="47" t="s">
        <v>124</v>
      </c>
      <c r="J18" s="47">
        <v>24</v>
      </c>
      <c r="K18" s="66">
        <v>120</v>
      </c>
      <c r="L18" s="47" t="s">
        <v>35</v>
      </c>
      <c r="M18" s="68" t="s">
        <v>13</v>
      </c>
      <c r="N18" s="38" t="s">
        <v>74</v>
      </c>
      <c r="O18" s="9"/>
    </row>
    <row r="19" spans="1:69" ht="122.25" customHeight="1" x14ac:dyDescent="0.25">
      <c r="A19" s="54">
        <v>13</v>
      </c>
      <c r="B19" s="36" t="s">
        <v>69</v>
      </c>
      <c r="C19" s="39" t="s">
        <v>62</v>
      </c>
      <c r="D19" s="45">
        <v>17310727</v>
      </c>
      <c r="E19" s="45"/>
      <c r="F19" s="45"/>
      <c r="G19" s="58" t="s">
        <v>131</v>
      </c>
      <c r="H19" s="38" t="s">
        <v>64</v>
      </c>
      <c r="I19" s="38">
        <v>1986</v>
      </c>
      <c r="J19" s="36">
        <v>46</v>
      </c>
      <c r="K19" s="66">
        <v>120</v>
      </c>
      <c r="L19" s="36" t="s">
        <v>120</v>
      </c>
      <c r="M19" s="66" t="s">
        <v>13</v>
      </c>
      <c r="N19" s="38" t="s">
        <v>38</v>
      </c>
      <c r="O19" s="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9" ht="122.25" customHeight="1" x14ac:dyDescent="0.25">
      <c r="A20" s="54">
        <v>14</v>
      </c>
      <c r="B20" s="36" t="s">
        <v>69</v>
      </c>
      <c r="C20" s="39" t="s">
        <v>40</v>
      </c>
      <c r="D20" s="45">
        <v>9454357</v>
      </c>
      <c r="E20" s="45"/>
      <c r="F20" s="45"/>
      <c r="G20" s="58" t="s">
        <v>41</v>
      </c>
      <c r="H20" s="38" t="s">
        <v>42</v>
      </c>
      <c r="I20" s="38" t="s">
        <v>43</v>
      </c>
      <c r="J20" s="36">
        <v>50</v>
      </c>
      <c r="K20" s="66">
        <v>120</v>
      </c>
      <c r="L20" s="36" t="s">
        <v>120</v>
      </c>
      <c r="M20" s="66" t="s">
        <v>13</v>
      </c>
      <c r="N20" s="38" t="s">
        <v>38</v>
      </c>
      <c r="O20" s="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9" ht="122.25" customHeight="1" x14ac:dyDescent="0.25">
      <c r="A21" s="54">
        <v>15</v>
      </c>
      <c r="B21" s="36" t="s">
        <v>44</v>
      </c>
      <c r="C21" s="36" t="s">
        <v>45</v>
      </c>
      <c r="D21" s="37">
        <v>12495311</v>
      </c>
      <c r="E21" s="37"/>
      <c r="F21" s="37"/>
      <c r="G21" s="56" t="s">
        <v>46</v>
      </c>
      <c r="H21" s="39" t="s">
        <v>15</v>
      </c>
      <c r="I21" s="36" t="s">
        <v>16</v>
      </c>
      <c r="J21" s="36">
        <v>17</v>
      </c>
      <c r="K21" s="66">
        <v>70</v>
      </c>
      <c r="L21" s="36" t="s">
        <v>27</v>
      </c>
      <c r="M21" s="66" t="s">
        <v>13</v>
      </c>
      <c r="N21" s="38" t="s">
        <v>38</v>
      </c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 spans="1:69" ht="122.25" customHeight="1" x14ac:dyDescent="0.25">
      <c r="A22" s="54">
        <v>16</v>
      </c>
      <c r="B22" s="36" t="s">
        <v>47</v>
      </c>
      <c r="C22" s="36" t="s">
        <v>49</v>
      </c>
      <c r="D22" s="37">
        <v>11478392</v>
      </c>
      <c r="E22" s="37"/>
      <c r="F22" s="37"/>
      <c r="G22" s="56" t="s">
        <v>50</v>
      </c>
      <c r="H22" s="36" t="s">
        <v>32</v>
      </c>
      <c r="I22" s="36" t="s">
        <v>51</v>
      </c>
      <c r="J22" s="36">
        <v>32</v>
      </c>
      <c r="K22" s="66">
        <v>120</v>
      </c>
      <c r="L22" s="36" t="s">
        <v>48</v>
      </c>
      <c r="M22" s="66" t="s">
        <v>13</v>
      </c>
      <c r="N22" s="38" t="s">
        <v>74</v>
      </c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 s="1" customFormat="1" ht="122.25" customHeight="1" x14ac:dyDescent="0.25">
      <c r="A23" s="54">
        <v>17</v>
      </c>
      <c r="B23" s="39" t="s">
        <v>53</v>
      </c>
      <c r="C23" s="39" t="s">
        <v>102</v>
      </c>
      <c r="D23" s="48">
        <v>9582422</v>
      </c>
      <c r="E23" s="43" t="s">
        <v>113</v>
      </c>
      <c r="F23" s="43">
        <v>14226221</v>
      </c>
      <c r="G23" s="57" t="s">
        <v>103</v>
      </c>
      <c r="H23" s="39" t="s">
        <v>92</v>
      </c>
      <c r="I23" s="39" t="s">
        <v>94</v>
      </c>
      <c r="J23" s="36">
        <v>28</v>
      </c>
      <c r="K23" s="66">
        <v>100</v>
      </c>
      <c r="L23" s="39" t="s">
        <v>73</v>
      </c>
      <c r="M23" s="66" t="s">
        <v>13</v>
      </c>
      <c r="N23" s="38" t="s">
        <v>38</v>
      </c>
      <c r="O23" s="9"/>
    </row>
    <row r="24" spans="1:69" ht="122.25" customHeight="1" x14ac:dyDescent="0.25">
      <c r="A24" s="54">
        <v>18</v>
      </c>
      <c r="B24" s="36" t="s">
        <v>53</v>
      </c>
      <c r="C24" s="39" t="s">
        <v>54</v>
      </c>
      <c r="D24" s="48">
        <v>17499022</v>
      </c>
      <c r="E24" s="43" t="s">
        <v>114</v>
      </c>
      <c r="F24" s="43">
        <v>14479134</v>
      </c>
      <c r="G24" s="57" t="s">
        <v>55</v>
      </c>
      <c r="H24" s="39" t="s">
        <v>14</v>
      </c>
      <c r="I24" s="39">
        <v>1979</v>
      </c>
      <c r="J24" s="36">
        <v>40</v>
      </c>
      <c r="K24" s="66">
        <v>120</v>
      </c>
      <c r="L24" s="39" t="s">
        <v>73</v>
      </c>
      <c r="M24" s="66" t="s">
        <v>13</v>
      </c>
      <c r="N24" s="38" t="s">
        <v>38</v>
      </c>
      <c r="O24" s="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69" ht="122.25" customHeight="1" x14ac:dyDescent="0.25">
      <c r="A25" s="54">
        <v>19</v>
      </c>
      <c r="B25" s="36" t="s">
        <v>53</v>
      </c>
      <c r="C25" s="39" t="s">
        <v>56</v>
      </c>
      <c r="D25" s="48" t="s">
        <v>57</v>
      </c>
      <c r="E25" s="43" t="s">
        <v>115</v>
      </c>
      <c r="F25" s="43">
        <v>12786268</v>
      </c>
      <c r="G25" s="57" t="s">
        <v>58</v>
      </c>
      <c r="H25" s="39" t="s">
        <v>33</v>
      </c>
      <c r="I25" s="39">
        <v>1977</v>
      </c>
      <c r="J25" s="36">
        <v>50</v>
      </c>
      <c r="K25" s="66">
        <v>120</v>
      </c>
      <c r="L25" s="39" t="s">
        <v>73</v>
      </c>
      <c r="M25" s="66" t="s">
        <v>13</v>
      </c>
      <c r="N25" s="38" t="s">
        <v>38</v>
      </c>
      <c r="O25" s="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69" s="1" customFormat="1" ht="122.25" customHeight="1" x14ac:dyDescent="0.25">
      <c r="A26" s="54">
        <v>20</v>
      </c>
      <c r="B26" s="36" t="s">
        <v>53</v>
      </c>
      <c r="C26" s="39" t="s">
        <v>59</v>
      </c>
      <c r="D26" s="48">
        <v>11597558</v>
      </c>
      <c r="E26" s="43" t="s">
        <v>116</v>
      </c>
      <c r="F26" s="43">
        <v>12241865</v>
      </c>
      <c r="G26" s="57" t="s">
        <v>60</v>
      </c>
      <c r="H26" s="39" t="s">
        <v>32</v>
      </c>
      <c r="I26" s="39">
        <v>2002</v>
      </c>
      <c r="J26" s="36">
        <v>32</v>
      </c>
      <c r="K26" s="66">
        <v>120</v>
      </c>
      <c r="L26" s="39" t="s">
        <v>73</v>
      </c>
      <c r="M26" s="66" t="s">
        <v>13</v>
      </c>
      <c r="N26" s="38" t="s">
        <v>38</v>
      </c>
      <c r="O26" s="9"/>
    </row>
    <row r="27" spans="1:69" s="1" customFormat="1" ht="122.25" customHeight="1" x14ac:dyDescent="0.25">
      <c r="A27" s="54">
        <v>21</v>
      </c>
      <c r="B27" s="36" t="s">
        <v>53</v>
      </c>
      <c r="C27" s="39" t="s">
        <v>102</v>
      </c>
      <c r="D27" s="48">
        <v>9582422</v>
      </c>
      <c r="E27" s="43" t="s">
        <v>119</v>
      </c>
      <c r="F27" s="43">
        <v>19946606</v>
      </c>
      <c r="G27" s="57" t="s">
        <v>104</v>
      </c>
      <c r="H27" s="39" t="s">
        <v>32</v>
      </c>
      <c r="I27" s="39" t="s">
        <v>105</v>
      </c>
      <c r="J27" s="36">
        <v>27</v>
      </c>
      <c r="K27" s="66">
        <v>120</v>
      </c>
      <c r="L27" s="39" t="s">
        <v>73</v>
      </c>
      <c r="M27" s="66" t="s">
        <v>13</v>
      </c>
      <c r="N27" s="38" t="s">
        <v>38</v>
      </c>
      <c r="O27" s="9"/>
    </row>
    <row r="28" spans="1:69" ht="122.25" customHeight="1" x14ac:dyDescent="0.25">
      <c r="A28" s="54">
        <v>22</v>
      </c>
      <c r="B28" s="36" t="s">
        <v>61</v>
      </c>
      <c r="C28" s="36" t="s">
        <v>95</v>
      </c>
      <c r="D28" s="37">
        <v>9803992</v>
      </c>
      <c r="E28" s="43" t="s">
        <v>117</v>
      </c>
      <c r="F28" s="43">
        <v>11801826</v>
      </c>
      <c r="G28" s="56" t="s">
        <v>96</v>
      </c>
      <c r="H28" s="36" t="s">
        <v>14</v>
      </c>
      <c r="I28" s="36" t="s">
        <v>97</v>
      </c>
      <c r="J28" s="36">
        <v>44</v>
      </c>
      <c r="K28" s="66">
        <v>120</v>
      </c>
      <c r="L28" s="36" t="s">
        <v>35</v>
      </c>
      <c r="M28" s="68" t="s">
        <v>13</v>
      </c>
      <c r="N28" s="38" t="s">
        <v>38</v>
      </c>
      <c r="O28" s="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69" ht="122.25" customHeight="1" x14ac:dyDescent="0.25">
      <c r="A29" s="54">
        <v>23</v>
      </c>
      <c r="B29" s="36" t="s">
        <v>61</v>
      </c>
      <c r="C29" s="36" t="s">
        <v>62</v>
      </c>
      <c r="D29" s="37">
        <v>17310727</v>
      </c>
      <c r="E29" s="43" t="s">
        <v>118</v>
      </c>
      <c r="F29" s="43">
        <v>19946937</v>
      </c>
      <c r="G29" s="56" t="s">
        <v>63</v>
      </c>
      <c r="H29" s="36" t="s">
        <v>64</v>
      </c>
      <c r="I29" s="36" t="s">
        <v>65</v>
      </c>
      <c r="J29" s="36">
        <v>52</v>
      </c>
      <c r="K29" s="66">
        <v>120</v>
      </c>
      <c r="L29" s="36" t="s">
        <v>35</v>
      </c>
      <c r="M29" s="68" t="s">
        <v>13</v>
      </c>
      <c r="N29" s="38" t="s">
        <v>38</v>
      </c>
      <c r="O29" s="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69" s="40" customFormat="1" ht="122.25" customHeight="1" x14ac:dyDescent="0.25">
      <c r="A30" s="54">
        <v>24</v>
      </c>
      <c r="B30" s="36" t="s">
        <v>101</v>
      </c>
      <c r="C30" s="36" t="s">
        <v>98</v>
      </c>
      <c r="D30" s="37">
        <v>8759988</v>
      </c>
      <c r="E30" s="37"/>
      <c r="F30" s="37"/>
      <c r="G30" s="56" t="s">
        <v>99</v>
      </c>
      <c r="H30" s="36" t="s">
        <v>66</v>
      </c>
      <c r="I30" s="36" t="s">
        <v>100</v>
      </c>
      <c r="J30" s="36">
        <v>32</v>
      </c>
      <c r="K30" s="66">
        <v>120</v>
      </c>
      <c r="L30" s="36" t="s">
        <v>120</v>
      </c>
      <c r="M30" s="66" t="s">
        <v>13</v>
      </c>
      <c r="N30" s="38" t="s">
        <v>74</v>
      </c>
      <c r="O30" s="9"/>
    </row>
    <row r="31" spans="1:69" s="15" customFormat="1" ht="92.25" customHeight="1" x14ac:dyDescent="0.25">
      <c r="A31" s="30"/>
      <c r="B31" s="83"/>
      <c r="C31" s="83"/>
      <c r="D31" s="83"/>
      <c r="E31" s="83"/>
      <c r="F31" s="83"/>
      <c r="G31" s="83"/>
      <c r="H31" s="33"/>
      <c r="I31" s="33"/>
      <c r="J31" s="33"/>
      <c r="K31" s="69">
        <f>SUM(K7:K30)</f>
        <v>2250</v>
      </c>
      <c r="L31" s="33"/>
      <c r="M31" s="33"/>
      <c r="N31" s="33"/>
      <c r="O31" s="33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</row>
    <row r="32" spans="1:69" ht="92.25" customHeight="1" x14ac:dyDescent="0.25">
      <c r="A32" s="30"/>
      <c r="B32" s="32"/>
      <c r="C32" s="32"/>
      <c r="D32" s="32"/>
      <c r="E32" s="42"/>
      <c r="F32" s="42"/>
      <c r="G32" s="32"/>
      <c r="H32" s="33"/>
      <c r="I32" s="6"/>
      <c r="J32" s="6"/>
      <c r="K32" s="31"/>
      <c r="L32" s="6"/>
      <c r="M32" s="6"/>
      <c r="N32" s="7"/>
      <c r="O32" s="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92.25" customHeight="1" x14ac:dyDescent="0.25">
      <c r="A33" s="30"/>
      <c r="B33" s="32"/>
      <c r="C33" s="32"/>
      <c r="D33" s="32"/>
      <c r="E33" s="42"/>
      <c r="F33" s="42"/>
      <c r="G33" s="32"/>
      <c r="H33" s="33"/>
      <c r="I33" s="6"/>
      <c r="J33" s="6"/>
      <c r="K33" s="31"/>
      <c r="L33" s="6"/>
      <c r="M33" s="6"/>
      <c r="N33" s="7"/>
      <c r="O33" s="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74.25" customHeight="1" x14ac:dyDescent="0.9">
      <c r="A34" s="34"/>
      <c r="B34" s="27" t="s">
        <v>77</v>
      </c>
      <c r="C34" s="27" t="s">
        <v>88</v>
      </c>
      <c r="D34" s="73" t="s">
        <v>85</v>
      </c>
      <c r="E34" s="74"/>
      <c r="F34" s="75"/>
      <c r="G34" s="26" t="s">
        <v>86</v>
      </c>
      <c r="H34" s="1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78.75" customHeight="1" x14ac:dyDescent="0.9">
      <c r="A35" s="22">
        <v>1</v>
      </c>
      <c r="B35" s="16" t="s">
        <v>12</v>
      </c>
      <c r="C35" s="59">
        <f t="shared" ref="C35:C42" si="0">SUMIF($L$7:$L$1277,$B1283,$K$7:$K$1277)</f>
        <v>0</v>
      </c>
      <c r="D35" s="76"/>
      <c r="E35" s="77"/>
      <c r="F35" s="78"/>
      <c r="G35" s="60">
        <f t="shared" ref="G35:G42" si="1">D35-C35</f>
        <v>0</v>
      </c>
      <c r="H35" s="15"/>
    </row>
    <row r="36" spans="1:41" ht="78.75" customHeight="1" x14ac:dyDescent="0.9">
      <c r="A36" s="22">
        <v>2</v>
      </c>
      <c r="B36" s="16" t="s">
        <v>120</v>
      </c>
      <c r="C36" s="59">
        <f t="shared" si="0"/>
        <v>0</v>
      </c>
      <c r="D36" s="76"/>
      <c r="E36" s="77"/>
      <c r="F36" s="78"/>
      <c r="G36" s="60">
        <f t="shared" si="1"/>
        <v>0</v>
      </c>
      <c r="H36" s="5"/>
    </row>
    <row r="37" spans="1:41" ht="78.75" customHeight="1" x14ac:dyDescent="0.9">
      <c r="A37" s="22">
        <v>3</v>
      </c>
      <c r="B37" s="17" t="s">
        <v>80</v>
      </c>
      <c r="C37" s="59">
        <f t="shared" si="0"/>
        <v>0</v>
      </c>
      <c r="D37" s="76"/>
      <c r="E37" s="77"/>
      <c r="F37" s="78"/>
      <c r="G37" s="60">
        <f t="shared" si="1"/>
        <v>0</v>
      </c>
    </row>
    <row r="38" spans="1:41" ht="78.75" customHeight="1" x14ac:dyDescent="0.9">
      <c r="A38" s="22">
        <v>5</v>
      </c>
      <c r="B38" s="17" t="s">
        <v>81</v>
      </c>
      <c r="C38" s="59">
        <f t="shared" si="0"/>
        <v>0</v>
      </c>
      <c r="D38" s="76"/>
      <c r="E38" s="77"/>
      <c r="F38" s="78"/>
      <c r="G38" s="60">
        <f t="shared" si="1"/>
        <v>0</v>
      </c>
    </row>
    <row r="39" spans="1:41" ht="78.75" customHeight="1" x14ac:dyDescent="0.9">
      <c r="A39" s="22">
        <v>6</v>
      </c>
      <c r="B39" s="17" t="s">
        <v>82</v>
      </c>
      <c r="C39" s="59">
        <f t="shared" si="0"/>
        <v>0</v>
      </c>
      <c r="D39" s="76"/>
      <c r="E39" s="77"/>
      <c r="F39" s="78"/>
      <c r="G39" s="60">
        <f t="shared" si="1"/>
        <v>0</v>
      </c>
    </row>
    <row r="40" spans="1:41" ht="78.75" customHeight="1" x14ac:dyDescent="0.9">
      <c r="A40" s="22">
        <v>7</v>
      </c>
      <c r="B40" s="17" t="s">
        <v>83</v>
      </c>
      <c r="C40" s="59">
        <f t="shared" si="0"/>
        <v>0</v>
      </c>
      <c r="D40" s="76"/>
      <c r="E40" s="77"/>
      <c r="F40" s="78"/>
      <c r="G40" s="60">
        <f t="shared" si="1"/>
        <v>0</v>
      </c>
    </row>
    <row r="41" spans="1:41" ht="78.75" customHeight="1" x14ac:dyDescent="0.9">
      <c r="A41" s="22">
        <v>8</v>
      </c>
      <c r="B41" s="17" t="s">
        <v>52</v>
      </c>
      <c r="C41" s="59">
        <f t="shared" si="0"/>
        <v>0</v>
      </c>
      <c r="D41" s="76"/>
      <c r="E41" s="77"/>
      <c r="F41" s="78"/>
      <c r="G41" s="60">
        <f t="shared" si="1"/>
        <v>0</v>
      </c>
    </row>
    <row r="42" spans="1:41" ht="78.75" customHeight="1" x14ac:dyDescent="0.9">
      <c r="A42" s="22">
        <v>9</v>
      </c>
      <c r="B42" s="17" t="s">
        <v>84</v>
      </c>
      <c r="C42" s="59">
        <f t="shared" si="0"/>
        <v>0</v>
      </c>
      <c r="D42" s="76"/>
      <c r="E42" s="77"/>
      <c r="F42" s="78"/>
      <c r="G42" s="60">
        <f t="shared" si="1"/>
        <v>0</v>
      </c>
    </row>
    <row r="43" spans="1:41" ht="52.5" customHeight="1" x14ac:dyDescent="0.9">
      <c r="A43" s="19"/>
      <c r="B43" s="20"/>
      <c r="C43" s="19"/>
      <c r="D43" s="19"/>
      <c r="E43" s="19"/>
      <c r="F43" s="19"/>
      <c r="G43" s="19"/>
      <c r="K43" s="24"/>
    </row>
    <row r="44" spans="1:41" ht="52.5" customHeight="1" x14ac:dyDescent="0.9">
      <c r="A44" s="28"/>
      <c r="B44" s="29" t="s">
        <v>89</v>
      </c>
      <c r="C44" s="23">
        <f>SUM(C35:C43)</f>
        <v>0</v>
      </c>
      <c r="D44" s="18">
        <f>SUM(D35:D43)</f>
        <v>0</v>
      </c>
      <c r="E44" s="18"/>
      <c r="F44" s="18"/>
      <c r="G44" s="21">
        <f>SUM(G35:G43)</f>
        <v>0</v>
      </c>
      <c r="K44" s="41"/>
    </row>
    <row r="45" spans="1:41" ht="109.5" customHeight="1" x14ac:dyDescent="0.9"/>
    <row r="48" spans="1:41" x14ac:dyDescent="0.9">
      <c r="L48" s="25"/>
    </row>
  </sheetData>
  <autoFilter ref="A6:O42"/>
  <mergeCells count="15">
    <mergeCell ref="A2:O3"/>
    <mergeCell ref="A1:O1"/>
    <mergeCell ref="B31:G31"/>
    <mergeCell ref="A5:D5"/>
    <mergeCell ref="E5:H5"/>
    <mergeCell ref="I5:O5"/>
    <mergeCell ref="D34:F34"/>
    <mergeCell ref="D35:F35"/>
    <mergeCell ref="D36:F36"/>
    <mergeCell ref="D37:F37"/>
    <mergeCell ref="D42:F42"/>
    <mergeCell ref="D38:F38"/>
    <mergeCell ref="D39:F39"/>
    <mergeCell ref="D40:F40"/>
    <mergeCell ref="D41:F41"/>
  </mergeCells>
  <conditionalFormatting sqref="D16:F16">
    <cfRule type="duplicateValues" dxfId="113" priority="784"/>
  </conditionalFormatting>
  <conditionalFormatting sqref="G45:G1048576 G1:G4 G6:G12 E5 G19:G26 G14:G16 G28">
    <cfRule type="duplicateValues" dxfId="112" priority="5889"/>
  </conditionalFormatting>
  <conditionalFormatting sqref="G16">
    <cfRule type="duplicateValues" dxfId="111" priority="782"/>
    <cfRule type="duplicateValues" dxfId="110" priority="783"/>
  </conditionalFormatting>
  <conditionalFormatting sqref="G45:G1048576">
    <cfRule type="duplicateValues" dxfId="109" priority="467"/>
  </conditionalFormatting>
  <conditionalFormatting sqref="A5 G6">
    <cfRule type="duplicateValues" dxfId="108" priority="908"/>
  </conditionalFormatting>
  <conditionalFormatting sqref="D44:F44">
    <cfRule type="duplicateValues" dxfId="107" priority="189"/>
    <cfRule type="duplicateValues" dxfId="106" priority="190"/>
  </conditionalFormatting>
  <conditionalFormatting sqref="D44:F44">
    <cfRule type="duplicateValues" dxfId="105" priority="169"/>
  </conditionalFormatting>
  <conditionalFormatting sqref="D44:F44">
    <cfRule type="duplicateValues" dxfId="104" priority="167"/>
  </conditionalFormatting>
  <conditionalFormatting sqref="D44:F44">
    <cfRule type="duplicateValues" dxfId="103" priority="166"/>
  </conditionalFormatting>
  <conditionalFormatting sqref="D44:F44">
    <cfRule type="duplicateValues" dxfId="102" priority="165"/>
  </conditionalFormatting>
  <conditionalFormatting sqref="D44:F44">
    <cfRule type="duplicateValues" dxfId="101" priority="170"/>
    <cfRule type="duplicateValues" dxfId="100" priority="171"/>
    <cfRule type="duplicateValues" dxfId="99" priority="172"/>
    <cfRule type="duplicateValues" dxfId="98" priority="173"/>
    <cfRule type="duplicateValues" dxfId="97" priority="174"/>
  </conditionalFormatting>
  <conditionalFormatting sqref="D44:F44">
    <cfRule type="duplicateValues" dxfId="96" priority="168"/>
  </conditionalFormatting>
  <conditionalFormatting sqref="D44:F44">
    <cfRule type="duplicateValues" dxfId="95" priority="183"/>
    <cfRule type="duplicateValues" dxfId="94" priority="184"/>
    <cfRule type="duplicateValues" dxfId="93" priority="185"/>
    <cfRule type="duplicateValues" dxfId="92" priority="186"/>
    <cfRule type="duplicateValues" dxfId="91" priority="187"/>
    <cfRule type="duplicateValues" dxfId="90" priority="188"/>
  </conditionalFormatting>
  <conditionalFormatting sqref="D44:F44">
    <cfRule type="duplicateValues" dxfId="89" priority="175"/>
    <cfRule type="duplicateValues" dxfId="88" priority="176"/>
    <cfRule type="duplicateValues" dxfId="87" priority="177"/>
  </conditionalFormatting>
  <conditionalFormatting sqref="D44:F44">
    <cfRule type="duplicateValues" dxfId="86" priority="179"/>
  </conditionalFormatting>
  <conditionalFormatting sqref="D44:F44">
    <cfRule type="duplicateValues" dxfId="85" priority="180"/>
  </conditionalFormatting>
  <conditionalFormatting sqref="D44:F44">
    <cfRule type="duplicateValues" dxfId="84" priority="178"/>
  </conditionalFormatting>
  <conditionalFormatting sqref="D44:F44">
    <cfRule type="duplicateValues" dxfId="83" priority="181"/>
  </conditionalFormatting>
  <conditionalFormatting sqref="D44:F44">
    <cfRule type="duplicateValues" dxfId="82" priority="182"/>
  </conditionalFormatting>
  <conditionalFormatting sqref="D44:F44">
    <cfRule type="duplicateValues" dxfId="81" priority="163"/>
    <cfRule type="duplicateValues" dxfId="80" priority="164"/>
  </conditionalFormatting>
  <conditionalFormatting sqref="D43:F44">
    <cfRule type="duplicateValues" dxfId="79" priority="161"/>
    <cfRule type="duplicateValues" dxfId="78" priority="162"/>
  </conditionalFormatting>
  <conditionalFormatting sqref="D43:F44">
    <cfRule type="duplicateValues" dxfId="77" priority="160"/>
  </conditionalFormatting>
  <conditionalFormatting sqref="D43:F44">
    <cfRule type="duplicateValues" dxfId="76" priority="159"/>
  </conditionalFormatting>
  <conditionalFormatting sqref="D43:F44">
    <cfRule type="duplicateValues" dxfId="75" priority="157"/>
    <cfRule type="duplicateValues" dxfId="74" priority="158"/>
  </conditionalFormatting>
  <conditionalFormatting sqref="D43:F44">
    <cfRule type="duplicateValues" dxfId="73" priority="156"/>
  </conditionalFormatting>
  <conditionalFormatting sqref="D43:F44">
    <cfRule type="duplicateValues" dxfId="72" priority="155"/>
  </conditionalFormatting>
  <conditionalFormatting sqref="D34">
    <cfRule type="duplicateValues" dxfId="71" priority="145"/>
  </conditionalFormatting>
  <conditionalFormatting sqref="D34">
    <cfRule type="duplicateValues" dxfId="70" priority="143"/>
  </conditionalFormatting>
  <conditionalFormatting sqref="D34">
    <cfRule type="duplicateValues" dxfId="69" priority="142"/>
  </conditionalFormatting>
  <conditionalFormatting sqref="D34">
    <cfRule type="duplicateValues" dxfId="68" priority="141"/>
  </conditionalFormatting>
  <conditionalFormatting sqref="D34">
    <cfRule type="duplicateValues" dxfId="67" priority="146"/>
    <cfRule type="duplicateValues" dxfId="66" priority="147"/>
    <cfRule type="duplicateValues" dxfId="65" priority="148"/>
    <cfRule type="duplicateValues" dxfId="64" priority="149"/>
    <cfRule type="duplicateValues" dxfId="63" priority="150"/>
  </conditionalFormatting>
  <conditionalFormatting sqref="D34">
    <cfRule type="duplicateValues" dxfId="62" priority="144"/>
  </conditionalFormatting>
  <conditionalFormatting sqref="D34">
    <cfRule type="duplicateValues" dxfId="61" priority="151"/>
    <cfRule type="duplicateValues" dxfId="60" priority="152"/>
    <cfRule type="duplicateValues" dxfId="59" priority="153"/>
  </conditionalFormatting>
  <conditionalFormatting sqref="D34">
    <cfRule type="duplicateValues" dxfId="58" priority="154"/>
  </conditionalFormatting>
  <conditionalFormatting sqref="D34">
    <cfRule type="duplicateValues" dxfId="57" priority="139"/>
    <cfRule type="duplicateValues" dxfId="56" priority="140"/>
  </conditionalFormatting>
  <conditionalFormatting sqref="D34">
    <cfRule type="duplicateValues" dxfId="55" priority="137"/>
    <cfRule type="duplicateValues" dxfId="54" priority="138"/>
  </conditionalFormatting>
  <conditionalFormatting sqref="D34">
    <cfRule type="duplicateValues" dxfId="53" priority="136"/>
  </conditionalFormatting>
  <conditionalFormatting sqref="D34">
    <cfRule type="duplicateValues" dxfId="52" priority="135"/>
  </conditionalFormatting>
  <conditionalFormatting sqref="D34">
    <cfRule type="duplicateValues" dxfId="51" priority="133"/>
    <cfRule type="duplicateValues" dxfId="50" priority="134"/>
  </conditionalFormatting>
  <conditionalFormatting sqref="D34">
    <cfRule type="duplicateValues" dxfId="49" priority="132"/>
  </conditionalFormatting>
  <conditionalFormatting sqref="D34">
    <cfRule type="duplicateValues" dxfId="48" priority="131"/>
  </conditionalFormatting>
  <conditionalFormatting sqref="D28">
    <cfRule type="duplicateValues" dxfId="47" priority="6220"/>
  </conditionalFormatting>
  <conditionalFormatting sqref="G28">
    <cfRule type="duplicateValues" dxfId="46" priority="6221"/>
  </conditionalFormatting>
  <conditionalFormatting sqref="D22:F22">
    <cfRule type="duplicateValues" dxfId="45" priority="6602"/>
  </conditionalFormatting>
  <conditionalFormatting sqref="G22">
    <cfRule type="duplicateValues" dxfId="44" priority="6603"/>
  </conditionalFormatting>
  <conditionalFormatting sqref="D29">
    <cfRule type="duplicateValues" dxfId="43" priority="6624"/>
  </conditionalFormatting>
  <conditionalFormatting sqref="G29">
    <cfRule type="duplicateValues" dxfId="42" priority="6625"/>
  </conditionalFormatting>
  <conditionalFormatting sqref="G13">
    <cfRule type="duplicateValues" dxfId="41" priority="63"/>
  </conditionalFormatting>
  <conditionalFormatting sqref="D13:F13">
    <cfRule type="duplicateValues" dxfId="40" priority="64"/>
  </conditionalFormatting>
  <conditionalFormatting sqref="G13">
    <cfRule type="duplicateValues" dxfId="39" priority="65"/>
    <cfRule type="duplicateValues" dxfId="38" priority="66"/>
  </conditionalFormatting>
  <conditionalFormatting sqref="G13">
    <cfRule type="duplicateValues" dxfId="37" priority="67"/>
    <cfRule type="duplicateValues" dxfId="36" priority="68"/>
  </conditionalFormatting>
  <conditionalFormatting sqref="G13">
    <cfRule type="duplicateValues" dxfId="35" priority="69"/>
  </conditionalFormatting>
  <conditionalFormatting sqref="G30">
    <cfRule type="duplicateValues" dxfId="34" priority="6631"/>
  </conditionalFormatting>
  <conditionalFormatting sqref="D30:F30">
    <cfRule type="duplicateValues" dxfId="33" priority="6632"/>
  </conditionalFormatting>
  <conditionalFormatting sqref="G30">
    <cfRule type="duplicateValues" dxfId="32" priority="6633"/>
    <cfRule type="duplicateValues" dxfId="31" priority="6634"/>
  </conditionalFormatting>
  <conditionalFormatting sqref="F10">
    <cfRule type="duplicateValues" dxfId="30" priority="22"/>
  </conditionalFormatting>
  <conditionalFormatting sqref="D19">
    <cfRule type="duplicateValues" dxfId="29" priority="21"/>
  </conditionalFormatting>
  <conditionalFormatting sqref="D18">
    <cfRule type="duplicateValues" dxfId="28" priority="20"/>
  </conditionalFormatting>
  <conditionalFormatting sqref="G18">
    <cfRule type="duplicateValues" dxfId="27" priority="15"/>
    <cfRule type="duplicateValues" dxfId="26" priority="16"/>
  </conditionalFormatting>
  <conditionalFormatting sqref="G18">
    <cfRule type="duplicateValues" dxfId="25" priority="17"/>
  </conditionalFormatting>
  <conditionalFormatting sqref="G18">
    <cfRule type="duplicateValues" dxfId="24" priority="19"/>
  </conditionalFormatting>
  <conditionalFormatting sqref="G18">
    <cfRule type="duplicateValues" dxfId="23" priority="18"/>
  </conditionalFormatting>
  <conditionalFormatting sqref="G18">
    <cfRule type="duplicateValues" dxfId="22" priority="14"/>
  </conditionalFormatting>
  <conditionalFormatting sqref="E26:F26 E28:F29">
    <cfRule type="duplicateValues" dxfId="21" priority="6660"/>
    <cfRule type="duplicateValues" dxfId="20" priority="6661"/>
    <cfRule type="duplicateValues" dxfId="19" priority="6662"/>
  </conditionalFormatting>
  <conditionalFormatting sqref="E17:F17">
    <cfRule type="duplicateValues" dxfId="18" priority="9"/>
    <cfRule type="duplicateValues" dxfId="17" priority="10"/>
    <cfRule type="duplicateValues" dxfId="16" priority="11"/>
  </conditionalFormatting>
  <conditionalFormatting sqref="D17">
    <cfRule type="duplicateValues" dxfId="15" priority="12"/>
  </conditionalFormatting>
  <conditionalFormatting sqref="G17">
    <cfRule type="duplicateValues" dxfId="14" priority="13"/>
  </conditionalFormatting>
  <conditionalFormatting sqref="E27">
    <cfRule type="duplicateValues" dxfId="13" priority="4"/>
    <cfRule type="duplicateValues" dxfId="12" priority="5"/>
    <cfRule type="duplicateValues" dxfId="11" priority="6"/>
  </conditionalFormatting>
  <conditionalFormatting sqref="F27">
    <cfRule type="duplicateValues" dxfId="10" priority="1"/>
    <cfRule type="duplicateValues" dxfId="9" priority="2"/>
    <cfRule type="duplicateValues" dxfId="8" priority="3"/>
  </conditionalFormatting>
  <conditionalFormatting sqref="G27">
    <cfRule type="duplicateValues" dxfId="7" priority="7"/>
  </conditionalFormatting>
  <conditionalFormatting sqref="D27">
    <cfRule type="duplicateValues" dxfId="6" priority="8"/>
  </conditionalFormatting>
  <conditionalFormatting sqref="D23:D26 D6:F9 D20:F21 D14:F15 D11:F12 D10 E19:F19">
    <cfRule type="duplicateValues" dxfId="5" priority="6670"/>
  </conditionalFormatting>
  <conditionalFormatting sqref="G23:G26 A5 G6:G12 G19:G21 G14:G15">
    <cfRule type="duplicateValues" dxfId="4" priority="6678"/>
  </conditionalFormatting>
  <conditionalFormatting sqref="G23:G26 G7:G12 G19:G21 G14:G15">
    <cfRule type="duplicateValues" dxfId="3" priority="6684"/>
  </conditionalFormatting>
  <conditionalFormatting sqref="E23:F25">
    <cfRule type="duplicateValues" dxfId="2" priority="6689"/>
    <cfRule type="duplicateValues" dxfId="1" priority="6690"/>
    <cfRule type="duplicateValues" dxfId="0" priority="6691"/>
  </conditionalFormatting>
  <printOptions horizontalCentered="1" verticalCentered="1"/>
  <pageMargins left="0" right="0" top="0" bottom="0" header="0.31496062992125984" footer="0.31496062992125984"/>
  <pageSetup paperSize="9" scale="2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MASIVOS (DIESEL)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IMTT</cp:lastModifiedBy>
  <cp:lastPrinted>2025-03-13T17:49:42Z</cp:lastPrinted>
  <dcterms:created xsi:type="dcterms:W3CDTF">2023-10-24T15:20:43Z</dcterms:created>
  <dcterms:modified xsi:type="dcterms:W3CDTF">2025-10-08T17:20:11Z</dcterms:modified>
</cp:coreProperties>
</file>